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Desktop\Documentación Futzone\"/>
    </mc:Choice>
  </mc:AlternateContent>
  <xr:revisionPtr revIDLastSave="0" documentId="8_{851D2086-274E-4B52-AFCB-CAF27560DAFF}" xr6:coauthVersionLast="47" xr6:coauthVersionMax="47" xr10:uidLastSave="{00000000-0000-0000-0000-000000000000}"/>
  <bookViews>
    <workbookView xWindow="-21720" yWindow="-45" windowWidth="21840" windowHeight="13020" xr2:uid="{B7D79F8A-A1E8-47AC-BBBC-A24E854C23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5" i="1" l="1"/>
  <c r="L54" i="1"/>
  <c r="K53" i="1"/>
  <c r="K54" i="1"/>
  <c r="I54" i="1"/>
  <c r="H54" i="1"/>
  <c r="H53" i="1"/>
  <c r="I53" i="1"/>
  <c r="L53" i="1"/>
  <c r="K52" i="1"/>
  <c r="K51" i="1"/>
  <c r="H52" i="1"/>
  <c r="I52" i="1"/>
  <c r="L52" i="1"/>
  <c r="H51" i="1"/>
  <c r="I51" i="1"/>
  <c r="L51" i="1"/>
  <c r="L50" i="1"/>
  <c r="K50" i="1"/>
  <c r="H50" i="1"/>
  <c r="I50" i="1" s="1"/>
  <c r="L49" i="1"/>
  <c r="K49" i="1"/>
  <c r="H49" i="1"/>
  <c r="I49" i="1" s="1"/>
  <c r="K48" i="1"/>
  <c r="H48" i="1"/>
  <c r="I48" i="1" s="1"/>
  <c r="K45" i="1"/>
  <c r="H45" i="1"/>
  <c r="I45" i="1" s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6" i="1"/>
  <c r="K47" i="1"/>
  <c r="J5" i="1"/>
  <c r="J4" i="1"/>
  <c r="K4" i="1" s="1"/>
  <c r="I68" i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6" i="1"/>
  <c r="I46" i="1" s="1"/>
  <c r="H47" i="1"/>
  <c r="I47" i="1" s="1"/>
  <c r="H4" i="1"/>
  <c r="I4" i="1" s="1"/>
</calcChain>
</file>

<file path=xl/sharedStrings.xml><?xml version="1.0" encoding="utf-8"?>
<sst xmlns="http://schemas.openxmlformats.org/spreadsheetml/2006/main" count="133" uniqueCount="133">
  <si>
    <t>CÓDIGO</t>
  </si>
  <si>
    <t>NOMBRE</t>
  </si>
  <si>
    <t>Análisis y Diseño (h)</t>
  </si>
  <si>
    <t>Desarrollo Frontend (h)</t>
  </si>
  <si>
    <t>Desarrollo Backend (h)</t>
  </si>
  <si>
    <t>Liderazgo (h)</t>
  </si>
  <si>
    <t>TOTAL (PH)</t>
  </si>
  <si>
    <t>TOTAL HORAS</t>
  </si>
  <si>
    <t>SUMA SALARIO (COP)</t>
  </si>
  <si>
    <t>COSTO TOTAL (COP)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</si>
  <si>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</si>
  <si>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</si>
  <si>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</si>
  <si>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</si>
  <si>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</si>
  <si>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</si>
  <si>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</si>
  <si>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</si>
  <si>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</si>
  <si>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</si>
  <si>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</si>
  <si>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</si>
  <si>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</si>
  <si>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</si>
  <si>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</si>
  <si>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</si>
  <si>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</si>
  <si>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</si>
  <si>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</si>
  <si>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</si>
  <si>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</si>
  <si>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</si>
  <si>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</si>
  <si>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</si>
  <si>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</si>
  <si>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</si>
  <si>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</si>
  <si>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</si>
  <si>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</si>
  <si>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</si>
  <si>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</si>
  <si>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</si>
  <si>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</si>
  <si>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</si>
  <si>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</si>
  <si>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</si>
  <si>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</si>
  <si>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</si>
  <si>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</si>
  <si>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</si>
  <si>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</si>
  <si>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</si>
  <si>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</si>
  <si>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</si>
  <si>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</si>
  <si>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</si>
  <si>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</si>
  <si>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MODULOS</t>
  </si>
  <si>
    <t>REQUISITOS</t>
  </si>
  <si>
    <t>PRIORIZACIÓN (Planning Póker)</t>
  </si>
  <si>
    <t>COSTOS</t>
  </si>
  <si>
    <t>COSTO TOTAL DEL PROYECTO</t>
  </si>
  <si>
    <t>Registro de usuario</t>
  </si>
  <si>
    <t>Inicio de sesión</t>
  </si>
  <si>
    <t>Recuperación de contraseña</t>
  </si>
  <si>
    <t>Sueldo x PH x 2 = total sueldo</t>
  </si>
  <si>
    <t>Analisis</t>
  </si>
  <si>
    <t>Desarrollo Front</t>
  </si>
  <si>
    <t>Desarrollo Back</t>
  </si>
  <si>
    <t>leader</t>
  </si>
  <si>
    <t>Sueldo base</t>
  </si>
  <si>
    <t>total</t>
  </si>
  <si>
    <t xml:space="preserve">Cierre de sesión </t>
  </si>
  <si>
    <t>Gestión de perfil personal</t>
  </si>
  <si>
    <t>Control de roles</t>
  </si>
  <si>
    <t>Verificación de Email único</t>
  </si>
  <si>
    <t>Generación de Token JWT</t>
  </si>
  <si>
    <t>Creación de perfil de equipo</t>
  </si>
  <si>
    <t>Inscripción a torneos</t>
  </si>
  <si>
    <t>Gestión de plantilla oficial</t>
  </si>
  <si>
    <t>Aceptación de postulaciones</t>
  </si>
  <si>
    <t>Edición de datos del club</t>
  </si>
  <si>
    <t>Reporte estadístico de equipo</t>
  </si>
  <si>
    <t>Creación de currículum deportivo</t>
  </si>
  <si>
    <t>Búsqueda de equipos para fichaje</t>
  </si>
  <si>
    <t>Aplicación a equipos (Postulación)</t>
  </si>
  <si>
    <t>Estado de postulaciones enviadas</t>
  </si>
  <si>
    <t>Visualización de historial de goles</t>
  </si>
  <si>
    <t>Vinculación automática al club</t>
  </si>
  <si>
    <t>Creación de nueva competición</t>
  </si>
  <si>
    <t>Definición de tipo de competición</t>
  </si>
  <si>
    <t>Gestión de equipos en el torneo</t>
  </si>
  <si>
    <t>Creación del Fixture (Calendario)</t>
  </si>
  <si>
    <t>Tabla de clasificación dinámica</t>
  </si>
  <si>
    <t>Registro de canchas y sedes</t>
  </si>
  <si>
    <t>Finalización oficial de competición</t>
  </si>
  <si>
    <t>Buscador global de torneos</t>
  </si>
  <si>
    <t>Programación manual de encuentros</t>
  </si>
  <si>
    <t>Designación de árbitros centrales</t>
  </si>
  <si>
    <t>Cambio de horario de juego</t>
  </si>
  <si>
    <t>Suspensión de partidos</t>
  </si>
  <si>
    <t>Ficha técnica de previa del partido</t>
  </si>
  <si>
    <t>Agenda de partidos de la semana</t>
  </si>
  <si>
    <t>Actualización automática de estado</t>
  </si>
  <si>
    <t>Ingreso de marcador final</t>
  </si>
  <si>
    <t>Registro minucioso de goleadores</t>
  </si>
  <si>
    <t>Registro de sanciones de campo (Tarjetas)</t>
  </si>
  <si>
    <t>Planilla de participación real</t>
  </si>
  <si>
    <t>Seguridad de datos (Bloqueo de Acta)</t>
  </si>
  <si>
    <t>Corrección administrativa de resultados</t>
  </si>
  <si>
    <t>Avisos visuales en tiempo real</t>
  </si>
  <si>
    <t>Avisos por Correo Electrónico</t>
  </si>
  <si>
    <t>Control de lectura de avisos</t>
  </si>
  <si>
    <t>Auditoría completa de usuarios</t>
  </si>
  <si>
    <t>Contador de KPIs globales (Estadísticas)</t>
  </si>
  <si>
    <t>Exportador de tablas (Excel/PDF)</t>
  </si>
  <si>
    <t>AUTENTICACIÓN Y SEGURIDAD</t>
  </si>
  <si>
    <t>GESTIÓN DE EQUIPOS</t>
  </si>
  <si>
    <t>JUGADORES</t>
  </si>
  <si>
    <t>TORNEOS</t>
  </si>
  <si>
    <t>PARTIDOS</t>
  </si>
  <si>
    <t>RESULTADOS (ACTAS)</t>
  </si>
  <si>
    <t>NOTIFICACIONES</t>
  </si>
  <si>
    <t>ADMINISTRACIÓN</t>
  </si>
  <si>
    <t>ADMINISTRACIÓN DE NOTIFICACIONES E INVITACIONES</t>
  </si>
  <si>
    <t>RF 48</t>
  </si>
  <si>
    <t>RF 49</t>
  </si>
  <si>
    <t>RF 50</t>
  </si>
  <si>
    <t>RF 51</t>
  </si>
  <si>
    <t>Respuesta a invitación de equipo</t>
  </si>
  <si>
    <t>Envío de invitación a jugador</t>
  </si>
  <si>
    <t>Generación automática de notificaciones</t>
  </si>
  <si>
    <t>Visualización del centro de notificaciones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</si>
</sst>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_-;\-[$$-240A]\ * #,##0_-;_-[$$-240A]\ 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0" borderId="9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6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164" fontId="2" fillId="3" borderId="8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89FDD-99FE-4A2C-9DB2-A78A3ECED2B0}" name="Tabla1" displayName="Tabla1" ref="H64:I68" headerRowCount="0" totalsRowShown="0" headerRowDxfId="1" dataDxfId="0" tableBorderDxfId="5" totalsRowBorderDxfId="4">
  <tableColumns count="2">
    <tableColumn id="1" xr3:uid="{B4F44A97-16BB-4B93-BD17-8E73E9575329}" name="Columna1" dataDxfId="3"/>
    <tableColumn id="2" xr3:uid="{F63B3F09-2585-4A6F-BBB1-8971495A3A73}" name="Columna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3C9C-588C-4A7D-AC24-85C3D752FDC0}">
  <dimension ref="A1:P68"/>
  <sheetViews>
    <sheetView tabSelected="1" topLeftCell="G43" zoomScaleNormal="100" workbookViewId="0">
      <selection activeCell="L62" sqref="L62"/>
    </sheetView>
  </sheetViews>
  <sheetFormatPr baseColWidth="10" defaultRowHeight="14.25"/>
  <cols>
    <col min="1" max="1" width="32.625" bestFit="1" customWidth="1"/>
    <col min="2" max="2" width="9.125" bestFit="1" customWidth="1"/>
    <col min="3" max="3" width="39.25" bestFit="1" customWidth="1"/>
    <col min="4" max="4" width="20.625" bestFit="1" customWidth="1"/>
    <col min="5" max="5" width="23.5" bestFit="1" customWidth="1"/>
    <col min="6" max="6" width="23.25" bestFit="1" customWidth="1"/>
    <col min="7" max="7" width="13.75" bestFit="1" customWidth="1"/>
    <col min="8" max="8" width="15.125" bestFit="1" customWidth="1"/>
    <col min="9" max="9" width="15.5" bestFit="1" customWidth="1"/>
    <col min="10" max="10" width="22.75" bestFit="1" customWidth="1"/>
    <col min="11" max="11" width="31.125" bestFit="1" customWidth="1"/>
    <col min="12" max="12" width="21.75" bestFit="1" customWidth="1"/>
    <col min="13" max="13" width="16.5" customWidth="1"/>
    <col min="14" max="14" width="18.25" customWidth="1"/>
  </cols>
  <sheetData>
    <row r="1" spans="1:16" ht="1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6" ht="15.75">
      <c r="A2" s="8" t="s">
        <v>57</v>
      </c>
      <c r="B2" s="9" t="s">
        <v>58</v>
      </c>
      <c r="C2" s="10"/>
      <c r="D2" s="9" t="s">
        <v>59</v>
      </c>
      <c r="E2" s="9"/>
      <c r="F2" s="9"/>
      <c r="G2" s="9"/>
      <c r="H2" s="9"/>
      <c r="I2" s="9" t="s">
        <v>60</v>
      </c>
      <c r="J2" s="9"/>
      <c r="K2" s="9"/>
      <c r="L2" s="9"/>
    </row>
    <row r="3" spans="1:16" ht="29.1" customHeight="1">
      <c r="A3" s="11" t="s">
        <v>116</v>
      </c>
      <c r="B3" s="12" t="s">
        <v>0</v>
      </c>
      <c r="C3" s="12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65</v>
      </c>
      <c r="L3" s="13" t="s">
        <v>9</v>
      </c>
      <c r="N3" s="3"/>
      <c r="O3" s="3"/>
      <c r="P3" s="1"/>
    </row>
    <row r="4" spans="1:16" ht="28.9" customHeight="1">
      <c r="A4" s="14"/>
      <c r="B4" s="15" t="s">
        <v>10</v>
      </c>
      <c r="C4" s="15" t="s">
        <v>62</v>
      </c>
      <c r="D4" s="16">
        <v>3</v>
      </c>
      <c r="E4" s="16">
        <v>3</v>
      </c>
      <c r="F4" s="16">
        <v>5</v>
      </c>
      <c r="G4" s="16">
        <v>2</v>
      </c>
      <c r="H4" s="16">
        <f t="shared" ref="H4:H35" si="0">SUM(D4,E4,F4,G4)</f>
        <v>13</v>
      </c>
      <c r="I4" s="16">
        <f>H4*2</f>
        <v>26</v>
      </c>
      <c r="J4" s="16">
        <f>SUM(I64:I67)</f>
        <v>14000000</v>
      </c>
      <c r="K4" s="17">
        <f>J4/160</f>
        <v>87500</v>
      </c>
      <c r="L4" s="17">
        <f>(D4*15625)+(E4*21875)+(F4*21875)+(G4*28125)</f>
        <v>278125</v>
      </c>
      <c r="N4" s="4"/>
      <c r="O4" s="5"/>
      <c r="P4" s="2"/>
    </row>
    <row r="5" spans="1:16" ht="28.9" customHeight="1">
      <c r="A5" s="14"/>
      <c r="B5" s="15" t="s">
        <v>11</v>
      </c>
      <c r="C5" s="15" t="s">
        <v>63</v>
      </c>
      <c r="D5" s="16">
        <v>3</v>
      </c>
      <c r="E5" s="16">
        <v>3</v>
      </c>
      <c r="F5" s="16">
        <v>8</v>
      </c>
      <c r="G5" s="16">
        <v>2</v>
      </c>
      <c r="H5" s="16">
        <f t="shared" si="0"/>
        <v>16</v>
      </c>
      <c r="I5" s="16">
        <f t="shared" ref="I5:I52" si="1">H5*2</f>
        <v>32</v>
      </c>
      <c r="J5" s="16">
        <f>SUM(I64:I67)</f>
        <v>14000000</v>
      </c>
      <c r="K5" s="17">
        <f t="shared" ref="K5:K52" si="2">J5/160</f>
        <v>87500</v>
      </c>
      <c r="L5" s="17">
        <f t="shared" ref="L5:L52" si="3">(D5*15625)+(E5*21875)+(F5*21875)+(G5*28125)</f>
        <v>343750</v>
      </c>
      <c r="N5" s="4"/>
      <c r="O5" s="5"/>
      <c r="P5" s="2"/>
    </row>
    <row r="6" spans="1:16" ht="15">
      <c r="A6" s="14"/>
      <c r="B6" s="15" t="s">
        <v>12</v>
      </c>
      <c r="C6" s="15" t="s">
        <v>64</v>
      </c>
      <c r="D6" s="16">
        <v>1</v>
      </c>
      <c r="E6" s="16">
        <v>5</v>
      </c>
      <c r="F6" s="16">
        <v>8</v>
      </c>
      <c r="G6" s="16">
        <v>2</v>
      </c>
      <c r="H6" s="16">
        <f t="shared" si="0"/>
        <v>16</v>
      </c>
      <c r="I6" s="16">
        <f t="shared" si="1"/>
        <v>32</v>
      </c>
      <c r="J6" s="16">
        <v>14000000</v>
      </c>
      <c r="K6" s="17">
        <f t="shared" si="2"/>
        <v>87500</v>
      </c>
      <c r="L6" s="17">
        <f t="shared" si="3"/>
        <v>356250</v>
      </c>
    </row>
    <row r="7" spans="1:16" ht="15">
      <c r="A7" s="14"/>
      <c r="B7" s="15" t="s">
        <v>13</v>
      </c>
      <c r="C7" s="15" t="s">
        <v>72</v>
      </c>
      <c r="D7" s="16">
        <v>1</v>
      </c>
      <c r="E7" s="16">
        <v>3</v>
      </c>
      <c r="F7" s="16">
        <v>8</v>
      </c>
      <c r="G7" s="16">
        <v>2</v>
      </c>
      <c r="H7" s="16">
        <f t="shared" si="0"/>
        <v>14</v>
      </c>
      <c r="I7" s="16">
        <f t="shared" si="1"/>
        <v>28</v>
      </c>
      <c r="J7" s="16">
        <v>14000000</v>
      </c>
      <c r="K7" s="17">
        <f t="shared" si="2"/>
        <v>87500</v>
      </c>
      <c r="L7" s="17">
        <f t="shared" si="3"/>
        <v>312500</v>
      </c>
    </row>
    <row r="8" spans="1:16" ht="15">
      <c r="A8" s="14"/>
      <c r="B8" s="15" t="s">
        <v>14</v>
      </c>
      <c r="C8" s="15" t="s">
        <v>73</v>
      </c>
      <c r="D8" s="16">
        <v>6</v>
      </c>
      <c r="E8" s="16">
        <v>3</v>
      </c>
      <c r="F8" s="16">
        <v>8</v>
      </c>
      <c r="G8" s="16">
        <v>2</v>
      </c>
      <c r="H8" s="16">
        <f t="shared" si="0"/>
        <v>19</v>
      </c>
      <c r="I8" s="16">
        <f t="shared" si="1"/>
        <v>38</v>
      </c>
      <c r="J8" s="16">
        <v>14000000</v>
      </c>
      <c r="K8" s="17">
        <f t="shared" si="2"/>
        <v>87500</v>
      </c>
      <c r="L8" s="17">
        <f t="shared" si="3"/>
        <v>390625</v>
      </c>
    </row>
    <row r="9" spans="1:16" ht="15">
      <c r="A9" s="14"/>
      <c r="B9" s="15" t="s">
        <v>15</v>
      </c>
      <c r="C9" s="15" t="s">
        <v>74</v>
      </c>
      <c r="D9" s="16">
        <v>8</v>
      </c>
      <c r="E9" s="16">
        <v>5</v>
      </c>
      <c r="F9" s="16">
        <v>5</v>
      </c>
      <c r="G9" s="16">
        <v>3</v>
      </c>
      <c r="H9" s="16">
        <f t="shared" si="0"/>
        <v>21</v>
      </c>
      <c r="I9" s="16">
        <f t="shared" si="1"/>
        <v>42</v>
      </c>
      <c r="J9" s="16">
        <v>14000000</v>
      </c>
      <c r="K9" s="17">
        <f t="shared" si="2"/>
        <v>87500</v>
      </c>
      <c r="L9" s="17">
        <f t="shared" si="3"/>
        <v>428125</v>
      </c>
    </row>
    <row r="10" spans="1:16" ht="15">
      <c r="A10" s="14"/>
      <c r="B10" s="15" t="s">
        <v>16</v>
      </c>
      <c r="C10" s="15" t="s">
        <v>75</v>
      </c>
      <c r="D10" s="16">
        <v>8</v>
      </c>
      <c r="E10" s="16">
        <v>5</v>
      </c>
      <c r="F10" s="16">
        <v>5</v>
      </c>
      <c r="G10" s="16">
        <v>3</v>
      </c>
      <c r="H10" s="16">
        <f t="shared" si="0"/>
        <v>21</v>
      </c>
      <c r="I10" s="16">
        <f t="shared" si="1"/>
        <v>42</v>
      </c>
      <c r="J10" s="16">
        <v>14000000</v>
      </c>
      <c r="K10" s="17">
        <f t="shared" si="2"/>
        <v>87500</v>
      </c>
      <c r="L10" s="17">
        <f t="shared" si="3"/>
        <v>428125</v>
      </c>
    </row>
    <row r="11" spans="1:16" ht="15">
      <c r="A11" s="18"/>
      <c r="B11" s="15" t="s">
        <v>17</v>
      </c>
      <c r="C11" s="15" t="s">
        <v>76</v>
      </c>
      <c r="D11" s="16">
        <v>8</v>
      </c>
      <c r="E11" s="16">
        <v>8</v>
      </c>
      <c r="F11" s="16">
        <v>8</v>
      </c>
      <c r="G11" s="16">
        <v>3</v>
      </c>
      <c r="H11" s="16">
        <f t="shared" si="0"/>
        <v>27</v>
      </c>
      <c r="I11" s="16">
        <f t="shared" si="1"/>
        <v>54</v>
      </c>
      <c r="J11" s="16">
        <v>14000000</v>
      </c>
      <c r="K11" s="17">
        <f t="shared" si="2"/>
        <v>87500</v>
      </c>
      <c r="L11" s="17">
        <f t="shared" si="3"/>
        <v>559375</v>
      </c>
    </row>
    <row r="12" spans="1:16" ht="15">
      <c r="A12" s="11" t="s">
        <v>117</v>
      </c>
      <c r="B12" s="15" t="s">
        <v>18</v>
      </c>
      <c r="C12" s="15" t="s">
        <v>77</v>
      </c>
      <c r="D12" s="16">
        <v>8</v>
      </c>
      <c r="E12" s="16">
        <v>5</v>
      </c>
      <c r="F12" s="16">
        <v>5</v>
      </c>
      <c r="G12" s="16">
        <v>3</v>
      </c>
      <c r="H12" s="16">
        <f t="shared" si="0"/>
        <v>21</v>
      </c>
      <c r="I12" s="16">
        <f t="shared" si="1"/>
        <v>42</v>
      </c>
      <c r="J12" s="16">
        <v>14000000</v>
      </c>
      <c r="K12" s="17">
        <f t="shared" si="2"/>
        <v>87500</v>
      </c>
      <c r="L12" s="17">
        <f t="shared" si="3"/>
        <v>428125</v>
      </c>
    </row>
    <row r="13" spans="1:16" ht="15">
      <c r="A13" s="14"/>
      <c r="B13" s="15" t="s">
        <v>19</v>
      </c>
      <c r="C13" s="15" t="s">
        <v>78</v>
      </c>
      <c r="D13" s="16">
        <v>8</v>
      </c>
      <c r="E13" s="16">
        <v>3</v>
      </c>
      <c r="F13" s="16">
        <v>5</v>
      </c>
      <c r="G13" s="16">
        <v>3</v>
      </c>
      <c r="H13" s="16">
        <f t="shared" si="0"/>
        <v>19</v>
      </c>
      <c r="I13" s="16">
        <f t="shared" si="1"/>
        <v>38</v>
      </c>
      <c r="J13" s="16">
        <v>14000000</v>
      </c>
      <c r="K13" s="17">
        <f t="shared" si="2"/>
        <v>87500</v>
      </c>
      <c r="L13" s="17">
        <f t="shared" si="3"/>
        <v>384375</v>
      </c>
    </row>
    <row r="14" spans="1:16" ht="15">
      <c r="A14" s="14"/>
      <c r="B14" s="15" t="s">
        <v>20</v>
      </c>
      <c r="C14" s="15" t="s">
        <v>79</v>
      </c>
      <c r="D14" s="16">
        <v>8</v>
      </c>
      <c r="E14" s="16">
        <v>5</v>
      </c>
      <c r="F14" s="16">
        <v>8</v>
      </c>
      <c r="G14" s="16">
        <v>3</v>
      </c>
      <c r="H14" s="16">
        <f t="shared" si="0"/>
        <v>24</v>
      </c>
      <c r="I14" s="16">
        <f t="shared" si="1"/>
        <v>48</v>
      </c>
      <c r="J14" s="16">
        <v>14000000</v>
      </c>
      <c r="K14" s="17">
        <f t="shared" si="2"/>
        <v>87500</v>
      </c>
      <c r="L14" s="17">
        <f t="shared" si="3"/>
        <v>493750</v>
      </c>
    </row>
    <row r="15" spans="1:16" ht="15">
      <c r="A15" s="14"/>
      <c r="B15" s="15" t="s">
        <v>21</v>
      </c>
      <c r="C15" s="15" t="s">
        <v>80</v>
      </c>
      <c r="D15" s="16">
        <v>8</v>
      </c>
      <c r="E15" s="16">
        <v>5</v>
      </c>
      <c r="F15" s="16">
        <v>5</v>
      </c>
      <c r="G15" s="16">
        <v>3</v>
      </c>
      <c r="H15" s="16">
        <f t="shared" si="0"/>
        <v>21</v>
      </c>
      <c r="I15" s="16">
        <f t="shared" si="1"/>
        <v>42</v>
      </c>
      <c r="J15" s="16">
        <v>14000000</v>
      </c>
      <c r="K15" s="17">
        <f t="shared" si="2"/>
        <v>87500</v>
      </c>
      <c r="L15" s="17">
        <f t="shared" si="3"/>
        <v>428125</v>
      </c>
    </row>
    <row r="16" spans="1:16" ht="15">
      <c r="A16" s="14"/>
      <c r="B16" s="15" t="s">
        <v>22</v>
      </c>
      <c r="C16" s="15" t="s">
        <v>81</v>
      </c>
      <c r="D16" s="16">
        <v>8</v>
      </c>
      <c r="E16" s="16">
        <v>5</v>
      </c>
      <c r="F16" s="16">
        <v>3</v>
      </c>
      <c r="G16" s="16">
        <v>3</v>
      </c>
      <c r="H16" s="16">
        <f t="shared" si="0"/>
        <v>19</v>
      </c>
      <c r="I16" s="16">
        <f t="shared" si="1"/>
        <v>38</v>
      </c>
      <c r="J16" s="16">
        <v>14000000</v>
      </c>
      <c r="K16" s="17">
        <f t="shared" si="2"/>
        <v>87500</v>
      </c>
      <c r="L16" s="17">
        <f t="shared" si="3"/>
        <v>384375</v>
      </c>
    </row>
    <row r="17" spans="1:12" ht="15">
      <c r="A17" s="18"/>
      <c r="B17" s="15" t="s">
        <v>23</v>
      </c>
      <c r="C17" s="15" t="s">
        <v>82</v>
      </c>
      <c r="D17" s="16"/>
      <c r="E17" s="16">
        <v>5</v>
      </c>
      <c r="F17" s="16"/>
      <c r="G17" s="16">
        <v>3</v>
      </c>
      <c r="H17" s="16">
        <f t="shared" si="0"/>
        <v>8</v>
      </c>
      <c r="I17" s="16">
        <f t="shared" si="1"/>
        <v>16</v>
      </c>
      <c r="J17" s="16">
        <v>14000000</v>
      </c>
      <c r="K17" s="17">
        <f t="shared" si="2"/>
        <v>87500</v>
      </c>
      <c r="L17" s="17">
        <f t="shared" si="3"/>
        <v>193750</v>
      </c>
    </row>
    <row r="18" spans="1:12" ht="14.45" customHeight="1">
      <c r="A18" s="11" t="s">
        <v>118</v>
      </c>
      <c r="B18" s="19" t="s">
        <v>24</v>
      </c>
      <c r="C18" s="19" t="s">
        <v>83</v>
      </c>
      <c r="D18" s="20">
        <v>5</v>
      </c>
      <c r="E18" s="20">
        <v>5</v>
      </c>
      <c r="F18" s="20">
        <v>5</v>
      </c>
      <c r="G18" s="20">
        <v>2</v>
      </c>
      <c r="H18" s="20">
        <f t="shared" si="0"/>
        <v>17</v>
      </c>
      <c r="I18" s="20">
        <f t="shared" si="1"/>
        <v>34</v>
      </c>
      <c r="J18" s="20">
        <v>14000000</v>
      </c>
      <c r="K18" s="21">
        <f t="shared" si="2"/>
        <v>87500</v>
      </c>
      <c r="L18" s="17">
        <f t="shared" si="3"/>
        <v>353125</v>
      </c>
    </row>
    <row r="19" spans="1:12" ht="15">
      <c r="A19" s="14"/>
      <c r="B19" s="19" t="s">
        <v>25</v>
      </c>
      <c r="C19" s="19" t="s">
        <v>84</v>
      </c>
      <c r="D19" s="20">
        <v>5</v>
      </c>
      <c r="E19" s="20">
        <v>5</v>
      </c>
      <c r="F19" s="20">
        <v>5</v>
      </c>
      <c r="G19" s="20">
        <v>2</v>
      </c>
      <c r="H19" s="20">
        <f t="shared" si="0"/>
        <v>17</v>
      </c>
      <c r="I19" s="20">
        <f t="shared" si="1"/>
        <v>34</v>
      </c>
      <c r="J19" s="20">
        <v>14000000</v>
      </c>
      <c r="K19" s="21">
        <f t="shared" si="2"/>
        <v>87500</v>
      </c>
      <c r="L19" s="17">
        <f t="shared" si="3"/>
        <v>353125</v>
      </c>
    </row>
    <row r="20" spans="1:12" ht="15">
      <c r="A20" s="14"/>
      <c r="B20" s="19" t="s">
        <v>26</v>
      </c>
      <c r="C20" s="19" t="s">
        <v>85</v>
      </c>
      <c r="D20" s="20">
        <v>5</v>
      </c>
      <c r="E20" s="20">
        <v>5</v>
      </c>
      <c r="F20" s="20">
        <v>5</v>
      </c>
      <c r="G20" s="20">
        <v>2</v>
      </c>
      <c r="H20" s="20">
        <f t="shared" si="0"/>
        <v>17</v>
      </c>
      <c r="I20" s="20">
        <f t="shared" si="1"/>
        <v>34</v>
      </c>
      <c r="J20" s="20">
        <v>14000000</v>
      </c>
      <c r="K20" s="21">
        <f t="shared" si="2"/>
        <v>87500</v>
      </c>
      <c r="L20" s="17">
        <f t="shared" si="3"/>
        <v>353125</v>
      </c>
    </row>
    <row r="21" spans="1:12" ht="15">
      <c r="A21" s="14"/>
      <c r="B21" s="19" t="s">
        <v>27</v>
      </c>
      <c r="C21" s="19" t="s">
        <v>86</v>
      </c>
      <c r="D21" s="20">
        <v>5</v>
      </c>
      <c r="E21" s="20">
        <v>5</v>
      </c>
      <c r="F21" s="20">
        <v>5</v>
      </c>
      <c r="G21" s="20">
        <v>2</v>
      </c>
      <c r="H21" s="20">
        <f t="shared" si="0"/>
        <v>17</v>
      </c>
      <c r="I21" s="20">
        <f t="shared" si="1"/>
        <v>34</v>
      </c>
      <c r="J21" s="20">
        <v>14000000</v>
      </c>
      <c r="K21" s="21">
        <f t="shared" si="2"/>
        <v>87500</v>
      </c>
      <c r="L21" s="17">
        <f t="shared" si="3"/>
        <v>353125</v>
      </c>
    </row>
    <row r="22" spans="1:12" ht="15">
      <c r="A22" s="14"/>
      <c r="B22" s="19" t="s">
        <v>28</v>
      </c>
      <c r="C22" s="19" t="s">
        <v>87</v>
      </c>
      <c r="D22" s="20">
        <v>5</v>
      </c>
      <c r="E22" s="20">
        <v>5</v>
      </c>
      <c r="F22" s="20">
        <v>5</v>
      </c>
      <c r="G22" s="20">
        <v>2</v>
      </c>
      <c r="H22" s="20">
        <f t="shared" si="0"/>
        <v>17</v>
      </c>
      <c r="I22" s="20">
        <f t="shared" si="1"/>
        <v>34</v>
      </c>
      <c r="J22" s="20">
        <v>14000000</v>
      </c>
      <c r="K22" s="21">
        <f t="shared" si="2"/>
        <v>87500</v>
      </c>
      <c r="L22" s="17">
        <f t="shared" si="3"/>
        <v>353125</v>
      </c>
    </row>
    <row r="23" spans="1:12" ht="15">
      <c r="A23" s="18"/>
      <c r="B23" s="19" t="s">
        <v>29</v>
      </c>
      <c r="C23" s="19" t="s">
        <v>88</v>
      </c>
      <c r="D23" s="20">
        <v>5</v>
      </c>
      <c r="E23" s="20">
        <v>5</v>
      </c>
      <c r="F23" s="20">
        <v>5</v>
      </c>
      <c r="G23" s="20">
        <v>3</v>
      </c>
      <c r="H23" s="20">
        <f t="shared" si="0"/>
        <v>18</v>
      </c>
      <c r="I23" s="20">
        <f t="shared" si="1"/>
        <v>36</v>
      </c>
      <c r="J23" s="20">
        <v>14000000</v>
      </c>
      <c r="K23" s="21">
        <f t="shared" si="2"/>
        <v>87500</v>
      </c>
      <c r="L23" s="17">
        <f t="shared" si="3"/>
        <v>381250</v>
      </c>
    </row>
    <row r="24" spans="1:12" ht="15">
      <c r="A24" s="11" t="s">
        <v>119</v>
      </c>
      <c r="B24" s="15" t="s">
        <v>30</v>
      </c>
      <c r="C24" s="15" t="s">
        <v>89</v>
      </c>
      <c r="D24" s="16">
        <v>5</v>
      </c>
      <c r="E24" s="16">
        <v>5</v>
      </c>
      <c r="F24" s="16">
        <v>5</v>
      </c>
      <c r="G24" s="16">
        <v>2</v>
      </c>
      <c r="H24" s="16">
        <f t="shared" si="0"/>
        <v>17</v>
      </c>
      <c r="I24" s="16">
        <f t="shared" si="1"/>
        <v>34</v>
      </c>
      <c r="J24" s="16">
        <v>14000000</v>
      </c>
      <c r="K24" s="17">
        <f t="shared" si="2"/>
        <v>87500</v>
      </c>
      <c r="L24" s="17">
        <f t="shared" si="3"/>
        <v>353125</v>
      </c>
    </row>
    <row r="25" spans="1:12" ht="15">
      <c r="A25" s="14"/>
      <c r="B25" s="15" t="s">
        <v>31</v>
      </c>
      <c r="C25" s="15" t="s">
        <v>90</v>
      </c>
      <c r="D25" s="16">
        <v>5</v>
      </c>
      <c r="E25" s="16">
        <v>5</v>
      </c>
      <c r="F25" s="16">
        <v>5</v>
      </c>
      <c r="G25" s="16">
        <v>2</v>
      </c>
      <c r="H25" s="16">
        <f t="shared" si="0"/>
        <v>17</v>
      </c>
      <c r="I25" s="16">
        <f t="shared" si="1"/>
        <v>34</v>
      </c>
      <c r="J25" s="16">
        <v>14000000</v>
      </c>
      <c r="K25" s="17">
        <f t="shared" si="2"/>
        <v>87500</v>
      </c>
      <c r="L25" s="17">
        <f t="shared" si="3"/>
        <v>353125</v>
      </c>
    </row>
    <row r="26" spans="1:12" ht="15">
      <c r="A26" s="14"/>
      <c r="B26" s="15" t="s">
        <v>32</v>
      </c>
      <c r="C26" s="15" t="s">
        <v>91</v>
      </c>
      <c r="D26" s="16">
        <v>5</v>
      </c>
      <c r="E26" s="16">
        <v>5</v>
      </c>
      <c r="F26" s="16">
        <v>5</v>
      </c>
      <c r="G26" s="16">
        <v>2</v>
      </c>
      <c r="H26" s="16">
        <f t="shared" si="0"/>
        <v>17</v>
      </c>
      <c r="I26" s="16">
        <f t="shared" si="1"/>
        <v>34</v>
      </c>
      <c r="J26" s="16">
        <v>14000000</v>
      </c>
      <c r="K26" s="17">
        <f t="shared" si="2"/>
        <v>87500</v>
      </c>
      <c r="L26" s="17">
        <f t="shared" si="3"/>
        <v>353125</v>
      </c>
    </row>
    <row r="27" spans="1:12" ht="15">
      <c r="A27" s="14"/>
      <c r="B27" s="15" t="s">
        <v>33</v>
      </c>
      <c r="C27" s="15" t="s">
        <v>92</v>
      </c>
      <c r="D27" s="16">
        <v>5</v>
      </c>
      <c r="E27" s="16">
        <v>5</v>
      </c>
      <c r="F27" s="16">
        <v>5</v>
      </c>
      <c r="G27" s="16">
        <v>2</v>
      </c>
      <c r="H27" s="16">
        <f t="shared" si="0"/>
        <v>17</v>
      </c>
      <c r="I27" s="16">
        <f t="shared" si="1"/>
        <v>34</v>
      </c>
      <c r="J27" s="16">
        <v>14000000</v>
      </c>
      <c r="K27" s="17">
        <f t="shared" si="2"/>
        <v>87500</v>
      </c>
      <c r="L27" s="17">
        <f t="shared" si="3"/>
        <v>353125</v>
      </c>
    </row>
    <row r="28" spans="1:12" ht="15">
      <c r="A28" s="14"/>
      <c r="B28" s="15" t="s">
        <v>34</v>
      </c>
      <c r="C28" s="15" t="s">
        <v>93</v>
      </c>
      <c r="D28" s="16">
        <v>5</v>
      </c>
      <c r="E28" s="16">
        <v>5</v>
      </c>
      <c r="F28" s="16">
        <v>5</v>
      </c>
      <c r="G28" s="16">
        <v>2</v>
      </c>
      <c r="H28" s="16">
        <f t="shared" si="0"/>
        <v>17</v>
      </c>
      <c r="I28" s="16">
        <f t="shared" si="1"/>
        <v>34</v>
      </c>
      <c r="J28" s="16">
        <v>14000000</v>
      </c>
      <c r="K28" s="17">
        <f t="shared" si="2"/>
        <v>87500</v>
      </c>
      <c r="L28" s="17">
        <f t="shared" si="3"/>
        <v>353125</v>
      </c>
    </row>
    <row r="29" spans="1:12" ht="15">
      <c r="A29" s="14"/>
      <c r="B29" s="15" t="s">
        <v>35</v>
      </c>
      <c r="C29" s="15" t="s">
        <v>94</v>
      </c>
      <c r="D29" s="16">
        <v>5</v>
      </c>
      <c r="E29" s="16">
        <v>5</v>
      </c>
      <c r="F29" s="16">
        <v>5</v>
      </c>
      <c r="G29" s="16">
        <v>2</v>
      </c>
      <c r="H29" s="16">
        <f t="shared" si="0"/>
        <v>17</v>
      </c>
      <c r="I29" s="16">
        <f t="shared" si="1"/>
        <v>34</v>
      </c>
      <c r="J29" s="16">
        <v>14000000</v>
      </c>
      <c r="K29" s="17">
        <f t="shared" si="2"/>
        <v>87500</v>
      </c>
      <c r="L29" s="17">
        <f t="shared" si="3"/>
        <v>353125</v>
      </c>
    </row>
    <row r="30" spans="1:12" ht="15">
      <c r="A30" s="14"/>
      <c r="B30" s="15" t="s">
        <v>36</v>
      </c>
      <c r="C30" s="15" t="s">
        <v>95</v>
      </c>
      <c r="D30" s="16">
        <v>5</v>
      </c>
      <c r="E30" s="16">
        <v>5</v>
      </c>
      <c r="F30" s="16">
        <v>5</v>
      </c>
      <c r="G30" s="16">
        <v>2</v>
      </c>
      <c r="H30" s="16">
        <f t="shared" si="0"/>
        <v>17</v>
      </c>
      <c r="I30" s="16">
        <f t="shared" si="1"/>
        <v>34</v>
      </c>
      <c r="J30" s="16">
        <v>14000000</v>
      </c>
      <c r="K30" s="17">
        <f t="shared" si="2"/>
        <v>87500</v>
      </c>
      <c r="L30" s="17">
        <f t="shared" si="3"/>
        <v>353125</v>
      </c>
    </row>
    <row r="31" spans="1:12" ht="15">
      <c r="A31" s="18"/>
      <c r="B31" s="15" t="s">
        <v>37</v>
      </c>
      <c r="C31" s="15" t="s">
        <v>96</v>
      </c>
      <c r="D31" s="16">
        <v>5</v>
      </c>
      <c r="E31" s="16">
        <v>5</v>
      </c>
      <c r="F31" s="16">
        <v>5</v>
      </c>
      <c r="G31" s="16">
        <v>2</v>
      </c>
      <c r="H31" s="16">
        <f t="shared" si="0"/>
        <v>17</v>
      </c>
      <c r="I31" s="16">
        <f t="shared" si="1"/>
        <v>34</v>
      </c>
      <c r="J31" s="16">
        <v>14000000</v>
      </c>
      <c r="K31" s="17">
        <f t="shared" si="2"/>
        <v>87500</v>
      </c>
      <c r="L31" s="17">
        <f t="shared" si="3"/>
        <v>353125</v>
      </c>
    </row>
    <row r="32" spans="1:12" ht="15">
      <c r="A32" s="11" t="s">
        <v>120</v>
      </c>
      <c r="B32" s="19" t="s">
        <v>38</v>
      </c>
      <c r="C32" s="19" t="s">
        <v>97</v>
      </c>
      <c r="D32" s="20">
        <v>5</v>
      </c>
      <c r="E32" s="20">
        <v>5</v>
      </c>
      <c r="F32" s="20">
        <v>5</v>
      </c>
      <c r="G32" s="20">
        <v>2</v>
      </c>
      <c r="H32" s="20">
        <f t="shared" si="0"/>
        <v>17</v>
      </c>
      <c r="I32" s="20">
        <f t="shared" si="1"/>
        <v>34</v>
      </c>
      <c r="J32" s="20">
        <v>14000000</v>
      </c>
      <c r="K32" s="21">
        <f t="shared" si="2"/>
        <v>87500</v>
      </c>
      <c r="L32" s="17">
        <f t="shared" si="3"/>
        <v>353125</v>
      </c>
    </row>
    <row r="33" spans="1:12" ht="14.45" customHeight="1">
      <c r="A33" s="14"/>
      <c r="B33" s="19" t="s">
        <v>39</v>
      </c>
      <c r="C33" s="19" t="s">
        <v>98</v>
      </c>
      <c r="D33" s="20">
        <v>5</v>
      </c>
      <c r="E33" s="20">
        <v>5</v>
      </c>
      <c r="F33" s="20">
        <v>5</v>
      </c>
      <c r="G33" s="20">
        <v>2</v>
      </c>
      <c r="H33" s="20">
        <f t="shared" si="0"/>
        <v>17</v>
      </c>
      <c r="I33" s="20">
        <f t="shared" si="1"/>
        <v>34</v>
      </c>
      <c r="J33" s="20">
        <v>14000000</v>
      </c>
      <c r="K33" s="21">
        <f t="shared" si="2"/>
        <v>87500</v>
      </c>
      <c r="L33" s="17">
        <f t="shared" si="3"/>
        <v>353125</v>
      </c>
    </row>
    <row r="34" spans="1:12" ht="15">
      <c r="A34" s="14"/>
      <c r="B34" s="19" t="s">
        <v>40</v>
      </c>
      <c r="C34" s="19" t="s">
        <v>99</v>
      </c>
      <c r="D34" s="20">
        <v>5</v>
      </c>
      <c r="E34" s="20">
        <v>3</v>
      </c>
      <c r="F34" s="20">
        <v>3</v>
      </c>
      <c r="G34" s="20">
        <v>2</v>
      </c>
      <c r="H34" s="20">
        <f t="shared" si="0"/>
        <v>13</v>
      </c>
      <c r="I34" s="20">
        <f t="shared" si="1"/>
        <v>26</v>
      </c>
      <c r="J34" s="20">
        <v>14000000</v>
      </c>
      <c r="K34" s="21">
        <f t="shared" si="2"/>
        <v>87500</v>
      </c>
      <c r="L34" s="17">
        <f t="shared" si="3"/>
        <v>265625</v>
      </c>
    </row>
    <row r="35" spans="1:12" ht="15">
      <c r="A35" s="14"/>
      <c r="B35" s="19" t="s">
        <v>41</v>
      </c>
      <c r="C35" s="19" t="s">
        <v>100</v>
      </c>
      <c r="D35" s="20">
        <v>5</v>
      </c>
      <c r="E35" s="20">
        <v>3</v>
      </c>
      <c r="F35" s="20">
        <v>3</v>
      </c>
      <c r="G35" s="20">
        <v>2</v>
      </c>
      <c r="H35" s="20">
        <f t="shared" si="0"/>
        <v>13</v>
      </c>
      <c r="I35" s="20">
        <f t="shared" si="1"/>
        <v>26</v>
      </c>
      <c r="J35" s="20">
        <v>14000000</v>
      </c>
      <c r="K35" s="21">
        <f t="shared" si="2"/>
        <v>87500</v>
      </c>
      <c r="L35" s="17">
        <f t="shared" si="3"/>
        <v>265625</v>
      </c>
    </row>
    <row r="36" spans="1:12" ht="15">
      <c r="A36" s="14"/>
      <c r="B36" s="19" t="s">
        <v>42</v>
      </c>
      <c r="C36" s="19" t="s">
        <v>101</v>
      </c>
      <c r="D36" s="20">
        <v>5</v>
      </c>
      <c r="E36" s="20">
        <v>3</v>
      </c>
      <c r="F36" s="20">
        <v>3</v>
      </c>
      <c r="G36" s="20">
        <v>2</v>
      </c>
      <c r="H36" s="20">
        <f t="shared" ref="H36:H52" si="4">SUM(D36,E36,F36,G36)</f>
        <v>13</v>
      </c>
      <c r="I36" s="20">
        <f t="shared" si="1"/>
        <v>26</v>
      </c>
      <c r="J36" s="20">
        <v>14000000</v>
      </c>
      <c r="K36" s="21">
        <f t="shared" si="2"/>
        <v>87500</v>
      </c>
      <c r="L36" s="17">
        <f t="shared" si="3"/>
        <v>265625</v>
      </c>
    </row>
    <row r="37" spans="1:12" ht="15">
      <c r="A37" s="14"/>
      <c r="B37" s="19" t="s">
        <v>43</v>
      </c>
      <c r="C37" s="19" t="s">
        <v>102</v>
      </c>
      <c r="D37" s="20">
        <v>5</v>
      </c>
      <c r="E37" s="20">
        <v>3</v>
      </c>
      <c r="F37" s="20">
        <v>3</v>
      </c>
      <c r="G37" s="20">
        <v>2</v>
      </c>
      <c r="H37" s="20">
        <f t="shared" si="4"/>
        <v>13</v>
      </c>
      <c r="I37" s="20">
        <f t="shared" si="1"/>
        <v>26</v>
      </c>
      <c r="J37" s="20">
        <v>14000000</v>
      </c>
      <c r="K37" s="21">
        <f t="shared" si="2"/>
        <v>87500</v>
      </c>
      <c r="L37" s="17">
        <f t="shared" si="3"/>
        <v>265625</v>
      </c>
    </row>
    <row r="38" spans="1:12" ht="15">
      <c r="A38" s="18"/>
      <c r="B38" s="19" t="s">
        <v>44</v>
      </c>
      <c r="C38" s="19" t="s">
        <v>103</v>
      </c>
      <c r="D38" s="20">
        <v>5</v>
      </c>
      <c r="E38" s="20">
        <v>3</v>
      </c>
      <c r="F38" s="20">
        <v>3</v>
      </c>
      <c r="G38" s="20">
        <v>2</v>
      </c>
      <c r="H38" s="20">
        <f t="shared" si="4"/>
        <v>13</v>
      </c>
      <c r="I38" s="20">
        <f t="shared" si="1"/>
        <v>26</v>
      </c>
      <c r="J38" s="20">
        <v>14000000</v>
      </c>
      <c r="K38" s="21">
        <f t="shared" si="2"/>
        <v>87500</v>
      </c>
      <c r="L38" s="17">
        <f t="shared" si="3"/>
        <v>265625</v>
      </c>
    </row>
    <row r="39" spans="1:12" ht="14.25" customHeight="1">
      <c r="A39" s="22" t="s">
        <v>121</v>
      </c>
      <c r="B39" s="19" t="s">
        <v>45</v>
      </c>
      <c r="C39" s="19" t="s">
        <v>104</v>
      </c>
      <c r="D39" s="20">
        <v>5</v>
      </c>
      <c r="E39" s="20">
        <v>3</v>
      </c>
      <c r="F39" s="20">
        <v>3</v>
      </c>
      <c r="G39" s="20">
        <v>3</v>
      </c>
      <c r="H39" s="20">
        <f t="shared" si="4"/>
        <v>14</v>
      </c>
      <c r="I39" s="20">
        <f t="shared" si="1"/>
        <v>28</v>
      </c>
      <c r="J39" s="20">
        <v>14000000</v>
      </c>
      <c r="K39" s="21">
        <f t="shared" si="2"/>
        <v>87500</v>
      </c>
      <c r="L39" s="17">
        <f t="shared" si="3"/>
        <v>293750</v>
      </c>
    </row>
    <row r="40" spans="1:12" ht="14.25" customHeight="1">
      <c r="A40" s="22"/>
      <c r="B40" s="19" t="s">
        <v>46</v>
      </c>
      <c r="C40" s="19" t="s">
        <v>105</v>
      </c>
      <c r="D40" s="20">
        <v>5</v>
      </c>
      <c r="E40" s="20">
        <v>3</v>
      </c>
      <c r="F40" s="20">
        <v>5</v>
      </c>
      <c r="G40" s="20">
        <v>3</v>
      </c>
      <c r="H40" s="20">
        <f t="shared" si="4"/>
        <v>16</v>
      </c>
      <c r="I40" s="20">
        <f t="shared" si="1"/>
        <v>32</v>
      </c>
      <c r="J40" s="20">
        <v>14000000</v>
      </c>
      <c r="K40" s="21">
        <f t="shared" si="2"/>
        <v>87500</v>
      </c>
      <c r="L40" s="17">
        <f t="shared" si="3"/>
        <v>337500</v>
      </c>
    </row>
    <row r="41" spans="1:12" ht="30">
      <c r="A41" s="22"/>
      <c r="B41" s="19" t="s">
        <v>47</v>
      </c>
      <c r="C41" s="19" t="s">
        <v>106</v>
      </c>
      <c r="D41" s="20">
        <v>5</v>
      </c>
      <c r="E41" s="20">
        <v>3</v>
      </c>
      <c r="F41" s="20">
        <v>5</v>
      </c>
      <c r="G41" s="20">
        <v>3</v>
      </c>
      <c r="H41" s="20">
        <f t="shared" si="4"/>
        <v>16</v>
      </c>
      <c r="I41" s="20">
        <f t="shared" si="1"/>
        <v>32</v>
      </c>
      <c r="J41" s="20">
        <v>14000000</v>
      </c>
      <c r="K41" s="21">
        <f t="shared" si="2"/>
        <v>87500</v>
      </c>
      <c r="L41" s="17">
        <f t="shared" si="3"/>
        <v>337500</v>
      </c>
    </row>
    <row r="42" spans="1:12" ht="14.25" customHeight="1">
      <c r="A42" s="22"/>
      <c r="B42" s="19" t="s">
        <v>48</v>
      </c>
      <c r="C42" s="19" t="s">
        <v>107</v>
      </c>
      <c r="D42" s="20">
        <v>5</v>
      </c>
      <c r="E42" s="20">
        <v>5</v>
      </c>
      <c r="F42" s="20">
        <v>5</v>
      </c>
      <c r="G42" s="20">
        <v>3</v>
      </c>
      <c r="H42" s="20">
        <f t="shared" si="4"/>
        <v>18</v>
      </c>
      <c r="I42" s="20">
        <f t="shared" si="1"/>
        <v>36</v>
      </c>
      <c r="J42" s="20">
        <v>14000000</v>
      </c>
      <c r="K42" s="21">
        <f t="shared" si="2"/>
        <v>87500</v>
      </c>
      <c r="L42" s="17">
        <f t="shared" si="3"/>
        <v>381250</v>
      </c>
    </row>
    <row r="43" spans="1:12" ht="14.25" customHeight="1">
      <c r="A43" s="22"/>
      <c r="B43" s="19" t="s">
        <v>49</v>
      </c>
      <c r="C43" s="19" t="s">
        <v>108</v>
      </c>
      <c r="D43" s="20">
        <v>5</v>
      </c>
      <c r="E43" s="20">
        <v>5</v>
      </c>
      <c r="F43" s="20">
        <v>5</v>
      </c>
      <c r="G43" s="20">
        <v>3</v>
      </c>
      <c r="H43" s="20">
        <f t="shared" si="4"/>
        <v>18</v>
      </c>
      <c r="I43" s="20">
        <f t="shared" si="1"/>
        <v>36</v>
      </c>
      <c r="J43" s="20">
        <v>14000000</v>
      </c>
      <c r="K43" s="21">
        <f t="shared" si="2"/>
        <v>87500</v>
      </c>
      <c r="L43" s="17">
        <f t="shared" si="3"/>
        <v>381250</v>
      </c>
    </row>
    <row r="44" spans="1:12" ht="15">
      <c r="A44" s="22"/>
      <c r="B44" s="19" t="s">
        <v>50</v>
      </c>
      <c r="C44" s="19" t="s">
        <v>109</v>
      </c>
      <c r="D44" s="20">
        <v>5</v>
      </c>
      <c r="E44" s="20">
        <v>5</v>
      </c>
      <c r="F44" s="20">
        <v>5</v>
      </c>
      <c r="G44" s="20">
        <v>3</v>
      </c>
      <c r="H44" s="20">
        <f t="shared" si="4"/>
        <v>18</v>
      </c>
      <c r="I44" s="20">
        <f t="shared" si="1"/>
        <v>36</v>
      </c>
      <c r="J44" s="20">
        <v>14000000</v>
      </c>
      <c r="K44" s="21">
        <f t="shared" si="2"/>
        <v>87500</v>
      </c>
      <c r="L44" s="17">
        <f t="shared" si="3"/>
        <v>381250</v>
      </c>
    </row>
    <row r="45" spans="1:12" ht="14.25" customHeight="1">
      <c r="A45" s="22" t="s">
        <v>122</v>
      </c>
      <c r="B45" s="23" t="s">
        <v>51</v>
      </c>
      <c r="C45" s="23" t="s">
        <v>110</v>
      </c>
      <c r="D45" s="24">
        <v>5</v>
      </c>
      <c r="E45" s="24">
        <v>5</v>
      </c>
      <c r="F45" s="24">
        <v>5</v>
      </c>
      <c r="G45" s="24">
        <v>3</v>
      </c>
      <c r="H45" s="24">
        <f t="shared" si="4"/>
        <v>18</v>
      </c>
      <c r="I45" s="24">
        <f t="shared" si="1"/>
        <v>36</v>
      </c>
      <c r="J45" s="24">
        <v>14000000</v>
      </c>
      <c r="K45" s="25">
        <f t="shared" si="2"/>
        <v>87500</v>
      </c>
      <c r="L45" s="17">
        <f t="shared" si="3"/>
        <v>381250</v>
      </c>
    </row>
    <row r="46" spans="1:12" ht="14.25" customHeight="1">
      <c r="A46" s="22"/>
      <c r="B46" s="23" t="s">
        <v>52</v>
      </c>
      <c r="C46" s="23" t="s">
        <v>111</v>
      </c>
      <c r="D46" s="24">
        <v>5</v>
      </c>
      <c r="E46" s="24">
        <v>5</v>
      </c>
      <c r="F46" s="24">
        <v>5</v>
      </c>
      <c r="G46" s="24">
        <v>2</v>
      </c>
      <c r="H46" s="24">
        <f t="shared" si="4"/>
        <v>17</v>
      </c>
      <c r="I46" s="24">
        <f t="shared" si="1"/>
        <v>34</v>
      </c>
      <c r="J46" s="24">
        <v>14000000</v>
      </c>
      <c r="K46" s="25">
        <f t="shared" si="2"/>
        <v>87500</v>
      </c>
      <c r="L46" s="17">
        <f t="shared" si="3"/>
        <v>353125</v>
      </c>
    </row>
    <row r="47" spans="1:12" ht="14.45" customHeight="1">
      <c r="A47" s="22"/>
      <c r="B47" s="23" t="s">
        <v>53</v>
      </c>
      <c r="C47" s="23" t="s">
        <v>112</v>
      </c>
      <c r="D47" s="24">
        <v>5</v>
      </c>
      <c r="E47" s="24">
        <v>5</v>
      </c>
      <c r="F47" s="24">
        <v>5</v>
      </c>
      <c r="G47" s="24">
        <v>2</v>
      </c>
      <c r="H47" s="24">
        <f t="shared" si="4"/>
        <v>17</v>
      </c>
      <c r="I47" s="24">
        <f t="shared" si="1"/>
        <v>34</v>
      </c>
      <c r="J47" s="24">
        <v>14000000</v>
      </c>
      <c r="K47" s="25">
        <f t="shared" si="2"/>
        <v>87500</v>
      </c>
      <c r="L47" s="17">
        <f t="shared" si="3"/>
        <v>353125</v>
      </c>
    </row>
    <row r="48" spans="1:12" ht="14.25" customHeight="1">
      <c r="A48" s="22" t="s">
        <v>123</v>
      </c>
      <c r="B48" s="15" t="s">
        <v>54</v>
      </c>
      <c r="C48" s="15" t="s">
        <v>113</v>
      </c>
      <c r="D48" s="16">
        <v>5</v>
      </c>
      <c r="E48" s="16">
        <v>5</v>
      </c>
      <c r="F48" s="16">
        <v>5</v>
      </c>
      <c r="G48" s="16">
        <v>2</v>
      </c>
      <c r="H48" s="16">
        <f t="shared" si="4"/>
        <v>17</v>
      </c>
      <c r="I48" s="16">
        <f t="shared" si="1"/>
        <v>34</v>
      </c>
      <c r="J48" s="16">
        <v>14000000</v>
      </c>
      <c r="K48" s="17">
        <f t="shared" si="2"/>
        <v>87500</v>
      </c>
      <c r="L48" s="17">
        <f t="shared" si="3"/>
        <v>353125</v>
      </c>
    </row>
    <row r="49" spans="1:12" ht="14.25" customHeight="1">
      <c r="A49" s="22"/>
      <c r="B49" s="15" t="s">
        <v>55</v>
      </c>
      <c r="C49" s="15" t="s">
        <v>114</v>
      </c>
      <c r="D49" s="16">
        <v>5</v>
      </c>
      <c r="E49" s="16">
        <v>5</v>
      </c>
      <c r="F49" s="16">
        <v>5</v>
      </c>
      <c r="G49" s="16">
        <v>2</v>
      </c>
      <c r="H49" s="16">
        <f t="shared" ref="H49:H54" si="5">SUM(D49,E49,F49,G49)</f>
        <v>17</v>
      </c>
      <c r="I49" s="16">
        <f t="shared" ref="I49:I54" si="6">H49*2</f>
        <v>34</v>
      </c>
      <c r="J49" s="16">
        <v>14000000</v>
      </c>
      <c r="K49" s="17">
        <f t="shared" ref="K49:K52" si="7">J49/160</f>
        <v>87500</v>
      </c>
      <c r="L49" s="17">
        <f t="shared" ref="L49:L54" si="8">(D49*15625)+(E49*21875)+(F49*21875)+(G49*28125)</f>
        <v>353125</v>
      </c>
    </row>
    <row r="50" spans="1:12" ht="14.25" customHeight="1">
      <c r="A50" s="22"/>
      <c r="B50" s="15" t="s">
        <v>56</v>
      </c>
      <c r="C50" s="15" t="s">
        <v>115</v>
      </c>
      <c r="D50" s="16">
        <v>5</v>
      </c>
      <c r="E50" s="16">
        <v>5</v>
      </c>
      <c r="F50" s="16">
        <v>5</v>
      </c>
      <c r="G50" s="16">
        <v>2</v>
      </c>
      <c r="H50" s="16">
        <f t="shared" si="5"/>
        <v>17</v>
      </c>
      <c r="I50" s="16">
        <f t="shared" si="6"/>
        <v>34</v>
      </c>
      <c r="J50" s="16">
        <v>14000000</v>
      </c>
      <c r="K50" s="17">
        <f t="shared" si="7"/>
        <v>87500</v>
      </c>
      <c r="L50" s="17">
        <f t="shared" si="8"/>
        <v>353125</v>
      </c>
    </row>
    <row r="51" spans="1:12" ht="14.25" customHeight="1">
      <c r="A51" s="22" t="s">
        <v>124</v>
      </c>
      <c r="B51" s="23" t="s">
        <v>125</v>
      </c>
      <c r="C51" s="23" t="s">
        <v>131</v>
      </c>
      <c r="D51" s="24">
        <v>5</v>
      </c>
      <c r="E51" s="24">
        <v>5</v>
      </c>
      <c r="F51" s="24">
        <v>5</v>
      </c>
      <c r="G51" s="24">
        <v>5</v>
      </c>
      <c r="H51" s="24">
        <f t="shared" si="5"/>
        <v>20</v>
      </c>
      <c r="I51" s="24">
        <f t="shared" si="6"/>
        <v>40</v>
      </c>
      <c r="J51" s="24">
        <v>14000000</v>
      </c>
      <c r="K51" s="25">
        <f t="shared" si="7"/>
        <v>87500</v>
      </c>
      <c r="L51" s="34">
        <f t="shared" si="8"/>
        <v>437500</v>
      </c>
    </row>
    <row r="52" spans="1:12" ht="14.25" customHeight="1">
      <c r="A52" s="22"/>
      <c r="B52" s="23" t="s">
        <v>126</v>
      </c>
      <c r="C52" s="32" t="s">
        <v>132</v>
      </c>
      <c r="D52" s="24">
        <v>5</v>
      </c>
      <c r="E52" s="24">
        <v>5</v>
      </c>
      <c r="F52" s="24">
        <v>5</v>
      </c>
      <c r="G52" s="24">
        <v>5</v>
      </c>
      <c r="H52" s="24">
        <f t="shared" si="5"/>
        <v>20</v>
      </c>
      <c r="I52" s="24">
        <f t="shared" si="6"/>
        <v>40</v>
      </c>
      <c r="J52" s="24">
        <v>14000000</v>
      </c>
      <c r="K52" s="25">
        <f>J52/160</f>
        <v>87500</v>
      </c>
      <c r="L52" s="34">
        <f t="shared" si="8"/>
        <v>437500</v>
      </c>
    </row>
    <row r="53" spans="1:12" ht="14.25" customHeight="1">
      <c r="A53" s="22"/>
      <c r="B53" s="19" t="s">
        <v>127</v>
      </c>
      <c r="C53" s="33" t="s">
        <v>130</v>
      </c>
      <c r="D53" s="20">
        <v>5</v>
      </c>
      <c r="E53" s="20">
        <v>5</v>
      </c>
      <c r="F53" s="20">
        <v>5</v>
      </c>
      <c r="G53" s="20">
        <v>2</v>
      </c>
      <c r="H53" s="20">
        <f t="shared" si="5"/>
        <v>17</v>
      </c>
      <c r="I53" s="20">
        <f t="shared" si="6"/>
        <v>34</v>
      </c>
      <c r="J53" s="20">
        <v>14000000</v>
      </c>
      <c r="K53" s="21">
        <f t="shared" ref="K53:K54" si="9">J53/160</f>
        <v>87500</v>
      </c>
      <c r="L53" s="21">
        <f t="shared" si="8"/>
        <v>353125</v>
      </c>
    </row>
    <row r="54" spans="1:12" ht="15" customHeight="1">
      <c r="A54" s="22"/>
      <c r="B54" s="19" t="s">
        <v>128</v>
      </c>
      <c r="C54" s="33" t="s">
        <v>129</v>
      </c>
      <c r="D54" s="33">
        <v>5</v>
      </c>
      <c r="E54" s="33">
        <v>5</v>
      </c>
      <c r="F54" s="33">
        <v>5</v>
      </c>
      <c r="G54" s="33">
        <v>3</v>
      </c>
      <c r="H54" s="20">
        <f t="shared" si="5"/>
        <v>18</v>
      </c>
      <c r="I54" s="20">
        <f t="shared" si="6"/>
        <v>36</v>
      </c>
      <c r="J54" s="20">
        <v>14000000</v>
      </c>
      <c r="K54" s="21">
        <f t="shared" si="9"/>
        <v>87500</v>
      </c>
      <c r="L54" s="21">
        <f t="shared" si="8"/>
        <v>381250</v>
      </c>
    </row>
    <row r="55" spans="1:12" ht="15">
      <c r="A55" s="6"/>
      <c r="B55" s="6"/>
      <c r="C55" s="6"/>
      <c r="D55" s="6"/>
      <c r="E55" s="6"/>
      <c r="F55" s="6"/>
      <c r="G55" s="6"/>
      <c r="H55" s="6"/>
      <c r="I55" s="6"/>
      <c r="J55" s="6"/>
      <c r="K55" s="7" t="s">
        <v>61</v>
      </c>
      <c r="L55" s="35">
        <f>SUM(L4:L54)</f>
        <v>18284375</v>
      </c>
    </row>
    <row r="56" spans="1:12" ht="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ht="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ht="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ht="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ht="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ht="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1:12" ht="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ht="15">
      <c r="A63" s="6"/>
      <c r="B63" s="6"/>
      <c r="C63" s="6"/>
      <c r="D63" s="6"/>
      <c r="E63" s="6"/>
      <c r="F63" s="6"/>
      <c r="G63" s="6"/>
      <c r="H63" s="10" t="s">
        <v>70</v>
      </c>
      <c r="I63" s="10"/>
      <c r="J63" s="6"/>
      <c r="K63" s="6"/>
      <c r="L63" s="6"/>
    </row>
    <row r="64" spans="1:12" ht="15">
      <c r="A64" s="6"/>
      <c r="B64" s="6"/>
      <c r="C64" s="6"/>
      <c r="D64" s="6"/>
      <c r="E64" s="6"/>
      <c r="F64" s="6"/>
      <c r="G64" s="6"/>
      <c r="H64" s="26" t="s">
        <v>66</v>
      </c>
      <c r="I64" s="27">
        <v>2500000</v>
      </c>
      <c r="J64" s="6"/>
      <c r="K64" s="6"/>
      <c r="L64" s="6"/>
    </row>
    <row r="65" spans="1:12" ht="15">
      <c r="A65" s="6"/>
      <c r="B65" s="6"/>
      <c r="C65" s="6"/>
      <c r="D65" s="6"/>
      <c r="E65" s="6"/>
      <c r="F65" s="6"/>
      <c r="G65" s="6"/>
      <c r="H65" s="28" t="s">
        <v>67</v>
      </c>
      <c r="I65" s="29">
        <v>3500000</v>
      </c>
      <c r="J65" s="6"/>
      <c r="K65" s="6"/>
      <c r="L65" s="6"/>
    </row>
    <row r="66" spans="1:12" ht="15">
      <c r="A66" s="6"/>
      <c r="B66" s="6"/>
      <c r="C66" s="6"/>
      <c r="D66" s="6"/>
      <c r="E66" s="6"/>
      <c r="F66" s="6"/>
      <c r="G66" s="6"/>
      <c r="H66" s="28" t="s">
        <v>68</v>
      </c>
      <c r="I66" s="29">
        <v>3500000</v>
      </c>
      <c r="J66" s="6"/>
      <c r="K66" s="6"/>
      <c r="L66" s="6"/>
    </row>
    <row r="67" spans="1:12" ht="15">
      <c r="A67" s="6"/>
      <c r="B67" s="6"/>
      <c r="C67" s="6"/>
      <c r="D67" s="6"/>
      <c r="E67" s="6"/>
      <c r="F67" s="6"/>
      <c r="G67" s="6"/>
      <c r="H67" s="28" t="s">
        <v>69</v>
      </c>
      <c r="I67" s="29">
        <v>4500000</v>
      </c>
      <c r="J67" s="6"/>
      <c r="K67" s="6"/>
      <c r="L67" s="6"/>
    </row>
    <row r="68" spans="1:12" ht="15">
      <c r="A68" s="6"/>
      <c r="B68" s="6"/>
      <c r="C68" s="6"/>
      <c r="D68" s="6"/>
      <c r="E68" s="6"/>
      <c r="F68" s="6"/>
      <c r="G68" s="6"/>
      <c r="H68" s="30" t="s">
        <v>71</v>
      </c>
      <c r="I68" s="31">
        <f>SUM(I64:I67)</f>
        <v>14000000</v>
      </c>
      <c r="J68" s="6"/>
      <c r="K68" s="6"/>
      <c r="L68" s="6"/>
    </row>
  </sheetData>
  <mergeCells count="13">
    <mergeCell ref="A51:A54"/>
    <mergeCell ref="H63:I63"/>
    <mergeCell ref="I2:L2"/>
    <mergeCell ref="B2:C2"/>
    <mergeCell ref="D2:H2"/>
    <mergeCell ref="A3:A11"/>
    <mergeCell ref="A12:A17"/>
    <mergeCell ref="A18:A23"/>
    <mergeCell ref="A24:A31"/>
    <mergeCell ref="A32:A38"/>
    <mergeCell ref="A39:A44"/>
    <mergeCell ref="A45:A47"/>
    <mergeCell ref="A48:A50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Colorado Gonzalez</dc:creator>
  <cp:lastModifiedBy>Emanuel Colorado</cp:lastModifiedBy>
  <dcterms:created xsi:type="dcterms:W3CDTF">2025-10-16T04:17:40Z</dcterms:created>
  <dcterms:modified xsi:type="dcterms:W3CDTF">2026-03-06T00:43:13Z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2025-10-22T15:08:48Z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33676ec3-d2cf-4cbe-8dfd-88376739bd23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